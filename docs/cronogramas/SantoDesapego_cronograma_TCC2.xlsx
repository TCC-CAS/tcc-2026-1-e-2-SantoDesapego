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/>
  <xr:revisionPtr revIDLastSave="0" documentId="8_{EBBDB17A-7ECD-4C36-825E-4C6F0F53AE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DeProjeto" sheetId="11" r:id="rId1"/>
  </sheets>
  <definedNames>
    <definedName name="Hoje" localSheetId="0">TODAY()</definedName>
    <definedName name="Início_da_tarefa" localSheetId="0">CronogramaDeProjeto!$E1</definedName>
    <definedName name="Início_do_projeto">CronogramaDeProjeto!$E$3</definedName>
    <definedName name="Progresso_da_tarefa" localSheetId="0">CronogramaDeProjeto!$D1</definedName>
    <definedName name="Semana_de_exibição">CronogramaDeProjeto!$E$4</definedName>
    <definedName name="Término_da_tarefa" localSheetId="0">CronogramaDeProjeto!$F1</definedName>
    <definedName name="_xlnm.Print_Titles" localSheetId="0">CronogramaDeProjeto!$4:$6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H6" i="11" l="1"/>
  <c r="DG6" i="11"/>
  <c r="DF6" i="11"/>
  <c r="DE6" i="11"/>
  <c r="DD6" i="11"/>
  <c r="DC6" i="11"/>
  <c r="DB6" i="11"/>
  <c r="DA6" i="11"/>
  <c r="CZ6" i="11"/>
  <c r="CY6" i="11"/>
  <c r="CX6" i="11"/>
  <c r="CW6" i="11"/>
  <c r="CV6" i="11"/>
  <c r="CU6" i="11"/>
  <c r="CT6" i="11"/>
  <c r="CS6" i="11"/>
  <c r="CR6" i="11"/>
  <c r="CQ6" i="11"/>
  <c r="CP6" i="11"/>
  <c r="CO6" i="11"/>
  <c r="CN6" i="11"/>
  <c r="CM6" i="11"/>
  <c r="CL6" i="11"/>
  <c r="CK6" i="11"/>
  <c r="CJ6" i="11"/>
  <c r="CI6" i="11"/>
  <c r="CH6" i="11"/>
  <c r="CG6" i="11"/>
  <c r="CF6" i="11"/>
  <c r="CE6" i="11"/>
  <c r="CD6" i="11"/>
  <c r="CC6" i="11"/>
  <c r="CB6" i="11"/>
  <c r="CA6" i="11"/>
  <c r="BZ6" i="11"/>
  <c r="BY6" i="11"/>
  <c r="BX6" i="11"/>
  <c r="BW6" i="11"/>
  <c r="BV6" i="11"/>
  <c r="BU6" i="11"/>
  <c r="BT6" i="11"/>
  <c r="BS6" i="11"/>
  <c r="BR6" i="11"/>
  <c r="BQ6" i="11"/>
  <c r="BP6" i="11"/>
  <c r="BO6" i="11"/>
  <c r="BN6" i="11"/>
  <c r="BM6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I5" i="11"/>
  <c r="J5" i="11" s="1"/>
  <c r="K5" i="11" l="1"/>
  <c r="J6" i="11"/>
  <c r="I6" i="11"/>
  <c r="I4" i="11"/>
  <c r="K6" i="11" l="1"/>
  <c r="L5" i="11"/>
  <c r="L6" i="11" l="1"/>
  <c r="M5" i="11"/>
  <c r="M6" i="11" l="1"/>
  <c r="N5" i="11"/>
  <c r="N6" i="11" l="1"/>
  <c r="O5" i="11"/>
  <c r="O6" i="11" l="1"/>
  <c r="P5" i="11"/>
  <c r="P4" i="11" l="1"/>
  <c r="P6" i="11"/>
  <c r="Q5" i="11"/>
  <c r="Q6" i="11" l="1"/>
  <c r="R5" i="11"/>
  <c r="S5" i="11" l="1"/>
  <c r="R6" i="11"/>
  <c r="T5" i="11" l="1"/>
  <c r="S6" i="11"/>
  <c r="U5" i="11" l="1"/>
  <c r="T6" i="11"/>
  <c r="V5" i="11" l="1"/>
  <c r="U6" i="11"/>
  <c r="W5" i="11" l="1"/>
  <c r="V6" i="11"/>
  <c r="W4" i="11" l="1"/>
  <c r="W6" i="11"/>
  <c r="X5" i="11"/>
  <c r="X6" i="11" l="1"/>
  <c r="Y5" i="11"/>
  <c r="Y6" i="11" l="1"/>
  <c r="Z5" i="11"/>
  <c r="Z6" i="11" l="1"/>
  <c r="AA5" i="11"/>
  <c r="AA6" i="11" l="1"/>
  <c r="AB5" i="11"/>
  <c r="AC5" i="11" l="1"/>
  <c r="AB6" i="11"/>
  <c r="AD5" i="11" l="1"/>
  <c r="AC6" i="11"/>
  <c r="AD4" i="11" l="1"/>
  <c r="AE5" i="11"/>
  <c r="AD6" i="11"/>
  <c r="AF5" i="11" l="1"/>
  <c r="AE6" i="11"/>
  <c r="AG5" i="11" l="1"/>
  <c r="AF6" i="11"/>
  <c r="AH5" i="11" l="1"/>
  <c r="AG6" i="11"/>
  <c r="AI5" i="11" l="1"/>
  <c r="AH6" i="11"/>
  <c r="AI6" i="11" l="1"/>
  <c r="AJ5" i="11"/>
  <c r="AJ6" i="11" l="1"/>
  <c r="AK5" i="11"/>
  <c r="AK4" i="11" l="1"/>
  <c r="AK6" i="11"/>
  <c r="AL5" i="11"/>
  <c r="AL6" i="11" l="1"/>
  <c r="AM5" i="11"/>
  <c r="AM6" i="11" l="1"/>
  <c r="AN5" i="11"/>
  <c r="AO5" i="11" l="1"/>
  <c r="AN6" i="11"/>
  <c r="AP5" i="11" l="1"/>
  <c r="AO6" i="11"/>
  <c r="AQ5" i="11" l="1"/>
  <c r="AP6" i="11"/>
  <c r="AR5" i="11" l="1"/>
  <c r="AQ6" i="11"/>
  <c r="AR4" i="11" l="1"/>
  <c r="AS5" i="11"/>
  <c r="AR6" i="11"/>
  <c r="AT5" i="11" l="1"/>
  <c r="AS6" i="11"/>
  <c r="AU5" i="11" l="1"/>
  <c r="AT6" i="11"/>
  <c r="AU6" i="11" l="1"/>
  <c r="AV5" i="11"/>
  <c r="AV6" i="11" l="1"/>
  <c r="AW5" i="11"/>
  <c r="AW6" i="11" l="1"/>
  <c r="AX5" i="11"/>
  <c r="AX6" i="11" l="1"/>
  <c r="AY5" i="11"/>
  <c r="AY6" i="11" l="1"/>
  <c r="AZ5" i="11"/>
  <c r="AY4" i="11"/>
  <c r="AZ6" i="11" l="1"/>
  <c r="BA5" i="11"/>
  <c r="BB5" i="11" l="1"/>
  <c r="BA6" i="11"/>
  <c r="BC5" i="11" l="1"/>
  <c r="BB6" i="11"/>
  <c r="BD5" i="11" l="1"/>
  <c r="BC6" i="11"/>
  <c r="BE5" i="11" l="1"/>
  <c r="BD6" i="11"/>
  <c r="BF5" i="11" l="1"/>
  <c r="BE6" i="11"/>
  <c r="BG5" i="11" l="1"/>
  <c r="BF6" i="11"/>
  <c r="BF4" i="11"/>
  <c r="BG6" i="11" l="1"/>
  <c r="BH5" i="11"/>
  <c r="BH6" i="11" l="1"/>
  <c r="BI5" i="11"/>
  <c r="BI6" i="11" l="1"/>
  <c r="BJ5" i="11"/>
  <c r="BJ6" i="11" l="1"/>
  <c r="BK5" i="11"/>
  <c r="BK6" i="11" l="1"/>
  <c r="BL5" i="11"/>
  <c r="BM5" i="11" l="1"/>
  <c r="BL6" i="11"/>
  <c r="BN5" i="11" l="1"/>
  <c r="BO5" i="11" s="1"/>
  <c r="BP5" i="11" s="1"/>
  <c r="BQ5" i="11" s="1"/>
  <c r="BR5" i="11" s="1"/>
  <c r="BS5" i="11" s="1"/>
  <c r="BT5" i="11" s="1"/>
  <c r="BM4" i="11"/>
  <c r="BU5" i="11" l="1"/>
  <c r="BV5" i="11" s="1"/>
  <c r="BW5" i="11" s="1"/>
  <c r="BX5" i="11" s="1"/>
  <c r="BY5" i="11" s="1"/>
  <c r="BZ5" i="11" s="1"/>
  <c r="CA5" i="11" s="1"/>
  <c r="BT4" i="11"/>
  <c r="CB5" i="11" l="1"/>
  <c r="CC5" i="11" s="1"/>
  <c r="CD5" i="11" s="1"/>
  <c r="CE5" i="11" s="1"/>
  <c r="CF5" i="11" s="1"/>
  <c r="CG5" i="11" s="1"/>
  <c r="CH5" i="11" s="1"/>
  <c r="CA4" i="11"/>
  <c r="CH4" i="11" l="1"/>
  <c r="CI5" i="11"/>
  <c r="CJ5" i="11" s="1"/>
  <c r="CK5" i="11" s="1"/>
  <c r="CL5" i="11" s="1"/>
  <c r="CM5" i="11" s="1"/>
  <c r="CN5" i="11" s="1"/>
  <c r="CO5" i="11" s="1"/>
  <c r="CP5" i="11" l="1"/>
  <c r="CQ5" i="11" s="1"/>
  <c r="CR5" i="11" s="1"/>
  <c r="CS5" i="11" s="1"/>
  <c r="CT5" i="11" s="1"/>
  <c r="CU5" i="11" s="1"/>
  <c r="CV5" i="11" s="1"/>
  <c r="CO4" i="11"/>
  <c r="CV4" i="11" l="1"/>
  <c r="CW5" i="11"/>
  <c r="CX5" i="11" s="1"/>
  <c r="CY5" i="11" s="1"/>
  <c r="CZ5" i="11" s="1"/>
  <c r="DA5" i="11" s="1"/>
  <c r="DB5" i="11" s="1"/>
  <c r="DC5" i="11" s="1"/>
  <c r="DC4" i="11" l="1"/>
  <c r="DD5" i="11"/>
  <c r="DE5" i="11" s="1"/>
  <c r="DF5" i="11" s="1"/>
  <c r="DG5" i="11" s="1"/>
  <c r="DH5" i="11" s="1"/>
</calcChain>
</file>

<file path=xl/sharedStrings.xml><?xml version="1.0" encoding="utf-8"?>
<sst xmlns="http://schemas.openxmlformats.org/spreadsheetml/2006/main" count="58" uniqueCount="44">
  <si>
    <t>Crie um cronograma de projeto nesta planilha.
Digite o título desse projeto na célula B1. 
As informações sobre como usar esta planilha, incluindo instruções para leitores de tela e o autor desta pasta de trabalho, estão na planilha Sobre.
Continue navegando pela coluna A para saber mais.</t>
  </si>
  <si>
    <t>Insira o Nome da empresa na célula B2.</t>
  </si>
  <si>
    <t>Insira o nome do Líder do projeto na célula B3. Insira a data de Início do projeto na célula E3. Início do projeto: o rótulo está na célula C3.</t>
  </si>
  <si>
    <t>A semana de exibição na célula E4 representa a semana inicial a ser exibida no cronograma do projeto na célula I4. A data de início do projeto é considerada Semana 1. Para alterar a semana de exibição, basta inserir um novo número da semana na célula E4.
A data inicial para cada semana, começando com a semana de exibição na célula E4, começa na célula I4 e é calculada automaticamente. Há 8 semanas representadas nesse modo de exibição que vão da célula I4 a célula BF4.
Você não deve modificar essas células.
Semana de exibição: o rótulo está na célula C4.</t>
  </si>
  <si>
    <t>As células I5 a BL5 contêm o número de dias da semana representado no bloco de células acima de cada célula de data e são calculadas automaticamente.
Você não deve modificar essas células.
A data de hoje é contornada em vermelho (hex #AD3815) a partir da data de hoje na linha 5, passando pela coluna de data inteira até o final do cronograma do projeto.</t>
  </si>
  <si>
    <t>Esta linha inclui cabeçalhos do cronograma do projeto que estão abaixo deles. 
Navegue de B6 a BL6 para ouvir o conteúdo. A primeira letra de cada dia da semana da data acima daquele cabeçalho começa na célula I6 e continua até a célula BL6.
Todo o gráfico de linha do tempo de projeto é gerado automaticamente com base nas datas de início e término inseridas, usando os formatos condicionais.
Não modifique o conteúdo nas células dentro das colunas após a coluna I, começando na célula I7.</t>
  </si>
  <si>
    <t xml:space="preserve">Não exclua esta linha. Esta linha ficará oculta para preservar uma fórmula usada para realçar o dia atual no cronograma do projeto. </t>
  </si>
  <si>
    <t>TAREFA</t>
  </si>
  <si>
    <t>Início do projeto:</t>
  </si>
  <si>
    <t>Semana de exibição:</t>
  </si>
  <si>
    <t>ATRIBUÍDO
PARA</t>
  </si>
  <si>
    <t>PROGRESSO</t>
  </si>
  <si>
    <t>INÍCIO</t>
  </si>
  <si>
    <t>TÉRMINO</t>
  </si>
  <si>
    <t>DIAS</t>
  </si>
  <si>
    <t>GeoBike - Sistema Web para Aluguel de Bikes</t>
  </si>
  <si>
    <t>TCC - BSI</t>
  </si>
  <si>
    <t>Configuração do Projeto de Desenvolvimento</t>
  </si>
  <si>
    <t>Configuração do ambiente React (front-end)</t>
  </si>
  <si>
    <t>Paulo Henrique</t>
  </si>
  <si>
    <t>Configuração do back-end e banco de dados</t>
  </si>
  <si>
    <t>Definição das rotas e API REST</t>
  </si>
  <si>
    <t>Implementação do Front-End</t>
  </si>
  <si>
    <t>Criação dos componentes base de UI</t>
  </si>
  <si>
    <t>Luisa Vitória</t>
  </si>
  <si>
    <t>Implementação das telas de autenticação</t>
  </si>
  <si>
    <t>Maria Érica</t>
  </si>
  <si>
    <t>Integração front-end com back-end</t>
  </si>
  <si>
    <t>Todos</t>
  </si>
  <si>
    <t>Implementação do Back-End</t>
  </si>
  <si>
    <t>Módulo de gestão de usuários e autenticação</t>
  </si>
  <si>
    <t>Módulo de pagamentos e histórico</t>
  </si>
  <si>
    <t>Módulo de geolocalização (GPS/mapa)</t>
  </si>
  <si>
    <t>Testes, Ajustes e Entrega TCC 2</t>
  </si>
  <si>
    <t>Testes unitários e de integração</t>
  </si>
  <si>
    <t>Testes de usabilidade com usuários reais</t>
  </si>
  <si>
    <t>Correção de bugs e ajustes de UX</t>
  </si>
  <si>
    <t>Líder: Paulo Henrique Alves Santana</t>
  </si>
  <si>
    <t>Recap geral do projeto</t>
  </si>
  <si>
    <t>Implementação do mapa e localização</t>
  </si>
  <si>
    <t xml:space="preserve">Implementação do fluxo </t>
  </si>
  <si>
    <t>Módulo de gerenciamento</t>
  </si>
  <si>
    <t>Módulo de integração web e back-end</t>
  </si>
  <si>
    <t xml:space="preserve">Entrega Final TCC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</si>
</sst>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d/m/yy;@"/>
    <numFmt numFmtId="166" formatCode="d\-mmm\-yyyy"/>
    <numFmt numFmtId="167" formatCode="d"/>
    <numFmt numFmtId="168" formatCode="ddd\,\ dd/mm/yyyy"/>
  </numFmts>
  <fonts count="36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0" fontId="12" fillId="0" borderId="0"/>
    <xf numFmtId="9" fontId="7" fillId="0" borderId="3" applyFont="0" applyFill="0" applyAlignment="0" applyProtection="0"/>
    <xf numFmtId="0" fontId="11" fillId="0" borderId="0" applyNumberFormat="0" applyFill="0" applyBorder="0" applyAlignment="0" applyProtection="0"/>
    <xf numFmtId="0" fontId="8" fillId="0" borderId="0" applyNumberFormat="0" applyFill="0" applyAlignment="0" applyProtection="0"/>
    <xf numFmtId="0" fontId="8" fillId="0" borderId="0" applyNumberFormat="0" applyFill="0" applyProtection="0">
      <alignment vertical="top"/>
    </xf>
    <xf numFmtId="0" fontId="7" fillId="0" borderId="0" applyNumberFormat="0" applyFill="0" applyProtection="0">
      <alignment horizontal="right" indent="1"/>
    </xf>
    <xf numFmtId="168" fontId="7" fillId="0" borderId="3">
      <alignment horizontal="center" vertical="center"/>
    </xf>
    <xf numFmtId="165" fontId="7" fillId="0" borderId="2" applyFill="0">
      <alignment horizontal="center" vertical="center"/>
    </xf>
    <xf numFmtId="0" fontId="7" fillId="0" borderId="2" applyFill="0">
      <alignment horizontal="center" vertical="center"/>
    </xf>
    <xf numFmtId="0" fontId="7" fillId="0" borderId="2" applyFill="0">
      <alignment horizontal="left" vertical="center" indent="2"/>
    </xf>
    <xf numFmtId="0" fontId="15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20" fillId="16" borderId="11" applyNumberFormat="0" applyAlignment="0" applyProtection="0"/>
    <xf numFmtId="0" fontId="21" fillId="17" borderId="12" applyNumberFormat="0" applyAlignment="0" applyProtection="0"/>
    <xf numFmtId="0" fontId="22" fillId="17" borderId="11" applyNumberFormat="0" applyAlignment="0" applyProtection="0"/>
    <xf numFmtId="0" fontId="23" fillId="0" borderId="13" applyNumberFormat="0" applyFill="0" applyAlignment="0" applyProtection="0"/>
    <xf numFmtId="0" fontId="24" fillId="18" borderId="14" applyNumberFormat="0" applyAlignment="0" applyProtection="0"/>
    <xf numFmtId="0" fontId="25" fillId="0" borderId="0" applyNumberFormat="0" applyFill="0" applyBorder="0" applyAlignment="0" applyProtection="0"/>
    <xf numFmtId="0" fontId="7" fillId="19" borderId="15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16" applyNumberFormat="0" applyFill="0" applyAlignment="0" applyProtection="0"/>
    <xf numFmtId="0" fontId="12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12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12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12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12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12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3"/>
    <xf numFmtId="0" fontId="12" fillId="0" borderId="0" xfId="3" applyAlignment="1">
      <alignment wrapText="1"/>
    </xf>
    <xf numFmtId="0" fontId="0" fillId="0" borderId="0" xfId="0" applyAlignment="1">
      <alignment wrapText="1"/>
    </xf>
    <xf numFmtId="0" fontId="11" fillId="0" borderId="0" xfId="5" applyAlignment="1">
      <alignment horizontal="left"/>
    </xf>
    <xf numFmtId="0" fontId="8" fillId="0" borderId="0" xfId="6"/>
    <xf numFmtId="0" fontId="8" fillId="0" borderId="0" xfId="7">
      <alignment vertical="top"/>
    </xf>
    <xf numFmtId="0" fontId="0" fillId="0" borderId="10" xfId="0" applyBorder="1"/>
    <xf numFmtId="0" fontId="13" fillId="0" borderId="0" xfId="0" applyFont="1"/>
    <xf numFmtId="0" fontId="14" fillId="0" borderId="0" xfId="1" applyFont="1" applyProtection="1">
      <alignment vertical="top"/>
    </xf>
    <xf numFmtId="167" fontId="9" fillId="6" borderId="6" xfId="0" applyNumberFormat="1" applyFont="1" applyFill="1" applyBorder="1" applyAlignment="1">
      <alignment horizontal="center" vertical="center"/>
    </xf>
    <xf numFmtId="167" fontId="9" fillId="6" borderId="0" xfId="0" applyNumberFormat="1" applyFont="1" applyFill="1" applyAlignment="1">
      <alignment horizontal="center" vertical="center"/>
    </xf>
    <xf numFmtId="167" fontId="9" fillId="6" borderId="7" xfId="0" applyNumberFormat="1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left" vertical="center" indent="1"/>
    </xf>
    <xf numFmtId="0" fontId="28" fillId="0" borderId="0" xfId="0" applyFont="1"/>
    <xf numFmtId="0" fontId="27" fillId="2" borderId="2" xfId="12" applyFont="1" applyFill="1">
      <alignment horizontal="left" vertical="center" indent="2"/>
    </xf>
    <xf numFmtId="0" fontId="27" fillId="8" borderId="2" xfId="0" applyFont="1" applyFill="1" applyBorder="1" applyAlignment="1">
      <alignment horizontal="left" vertical="center" indent="1"/>
    </xf>
    <xf numFmtId="0" fontId="27" fillId="3" borderId="2" xfId="12" applyFont="1" applyFill="1">
      <alignment horizontal="left" vertical="center" indent="2"/>
    </xf>
    <xf numFmtId="0" fontId="27" fillId="5" borderId="2" xfId="0" applyFont="1" applyFill="1" applyBorder="1" applyAlignment="1">
      <alignment horizontal="left" vertical="center" indent="1"/>
    </xf>
    <xf numFmtId="0" fontId="27" fillId="10" borderId="2" xfId="12" applyFont="1" applyFill="1">
      <alignment horizontal="left" vertical="center" indent="2"/>
    </xf>
    <xf numFmtId="0" fontId="27" fillId="4" borderId="2" xfId="0" applyFont="1" applyFill="1" applyBorder="1" applyAlignment="1">
      <alignment horizontal="left" vertical="center" indent="1"/>
    </xf>
    <xf numFmtId="0" fontId="27" fillId="9" borderId="2" xfId="12" applyFont="1" applyFill="1">
      <alignment horizontal="left" vertical="center" indent="2"/>
    </xf>
    <xf numFmtId="0" fontId="29" fillId="12" borderId="1" xfId="0" applyFont="1" applyFill="1" applyBorder="1" applyAlignment="1">
      <alignment horizontal="left" vertical="center" indent="1"/>
    </xf>
    <xf numFmtId="0" fontId="29" fillId="12" borderId="1" xfId="0" applyFont="1" applyFill="1" applyBorder="1" applyAlignment="1">
      <alignment horizontal="center" vertical="center" wrapText="1"/>
    </xf>
    <xf numFmtId="0" fontId="30" fillId="7" borderId="2" xfId="11" applyFont="1" applyFill="1">
      <alignment horizontal="center" vertical="center"/>
    </xf>
    <xf numFmtId="9" fontId="31" fillId="7" borderId="17" xfId="2" applyFont="1" applyFill="1" applyBorder="1" applyAlignment="1">
      <alignment horizontal="center" vertical="center"/>
    </xf>
    <xf numFmtId="9" fontId="31" fillId="2" borderId="17" xfId="2" applyFont="1" applyFill="1" applyBorder="1" applyAlignment="1">
      <alignment horizontal="center" vertical="center"/>
    </xf>
    <xf numFmtId="9" fontId="31" fillId="8" borderId="17" xfId="2" applyFont="1" applyFill="1" applyBorder="1" applyAlignment="1">
      <alignment horizontal="center" vertical="center"/>
    </xf>
    <xf numFmtId="9" fontId="31" fillId="3" borderId="17" xfId="2" applyFont="1" applyFill="1" applyBorder="1" applyAlignment="1">
      <alignment horizontal="center" vertical="center"/>
    </xf>
    <xf numFmtId="9" fontId="31" fillId="10" borderId="17" xfId="2" applyFont="1" applyFill="1" applyBorder="1" applyAlignment="1">
      <alignment horizontal="center" vertical="center"/>
    </xf>
    <xf numFmtId="9" fontId="31" fillId="4" borderId="17" xfId="2" applyFont="1" applyFill="1" applyBorder="1" applyAlignment="1">
      <alignment horizontal="center" vertical="center"/>
    </xf>
    <xf numFmtId="9" fontId="31" fillId="9" borderId="17" xfId="2" applyFont="1" applyFill="1" applyBorder="1" applyAlignment="1">
      <alignment horizontal="center" vertical="center"/>
    </xf>
    <xf numFmtId="0" fontId="32" fillId="2" borderId="2" xfId="11" applyFont="1" applyFill="1">
      <alignment horizontal="center" vertical="center"/>
    </xf>
    <xf numFmtId="0" fontId="32" fillId="8" borderId="2" xfId="11" applyFont="1" applyFill="1">
      <alignment horizontal="center" vertical="center"/>
    </xf>
    <xf numFmtId="0" fontId="32" fillId="3" borderId="2" xfId="11" applyFont="1" applyFill="1">
      <alignment horizontal="center" vertical="center"/>
    </xf>
    <xf numFmtId="0" fontId="32" fillId="5" borderId="2" xfId="11" applyFont="1" applyFill="1">
      <alignment horizontal="center" vertical="center"/>
    </xf>
    <xf numFmtId="0" fontId="32" fillId="10" borderId="2" xfId="11" applyFont="1" applyFill="1">
      <alignment horizontal="center" vertical="center"/>
    </xf>
    <xf numFmtId="0" fontId="32" fillId="4" borderId="2" xfId="11" applyFont="1" applyFill="1">
      <alignment horizontal="center" vertical="center"/>
    </xf>
    <xf numFmtId="0" fontId="32" fillId="9" borderId="2" xfId="11" applyFont="1" applyFill="1">
      <alignment horizontal="center" vertical="center"/>
    </xf>
    <xf numFmtId="165" fontId="33" fillId="7" borderId="2" xfId="0" applyNumberFormat="1" applyFont="1" applyFill="1" applyBorder="1" applyAlignment="1">
      <alignment horizontal="center" vertical="center"/>
    </xf>
    <xf numFmtId="165" fontId="34" fillId="7" borderId="2" xfId="0" applyNumberFormat="1" applyFont="1" applyFill="1" applyBorder="1" applyAlignment="1">
      <alignment horizontal="center" vertical="center"/>
    </xf>
    <xf numFmtId="165" fontId="33" fillId="2" borderId="2" xfId="10" applyFont="1" applyFill="1">
      <alignment horizontal="center" vertical="center"/>
    </xf>
    <xf numFmtId="165" fontId="33" fillId="8" borderId="2" xfId="0" applyNumberFormat="1" applyFont="1" applyFill="1" applyBorder="1" applyAlignment="1">
      <alignment horizontal="center" vertical="center"/>
    </xf>
    <xf numFmtId="165" fontId="34" fillId="8" borderId="2" xfId="0" applyNumberFormat="1" applyFont="1" applyFill="1" applyBorder="1" applyAlignment="1">
      <alignment horizontal="center" vertical="center"/>
    </xf>
    <xf numFmtId="165" fontId="33" fillId="3" borderId="2" xfId="10" applyFont="1" applyFill="1">
      <alignment horizontal="center" vertical="center"/>
    </xf>
    <xf numFmtId="165" fontId="33" fillId="5" borderId="2" xfId="0" applyNumberFormat="1" applyFont="1" applyFill="1" applyBorder="1" applyAlignment="1">
      <alignment horizontal="center" vertical="center"/>
    </xf>
    <xf numFmtId="165" fontId="34" fillId="5" borderId="2" xfId="0" applyNumberFormat="1" applyFont="1" applyFill="1" applyBorder="1" applyAlignment="1">
      <alignment horizontal="center" vertical="center"/>
    </xf>
    <xf numFmtId="165" fontId="33" fillId="10" borderId="2" xfId="10" applyFont="1" applyFill="1">
      <alignment horizontal="center" vertical="center"/>
    </xf>
    <xf numFmtId="165" fontId="33" fillId="4" borderId="2" xfId="0" applyNumberFormat="1" applyFont="1" applyFill="1" applyBorder="1" applyAlignment="1">
      <alignment horizontal="center" vertical="center"/>
    </xf>
    <xf numFmtId="165" fontId="34" fillId="4" borderId="2" xfId="0" applyNumberFormat="1" applyFont="1" applyFill="1" applyBorder="1" applyAlignment="1">
      <alignment horizontal="center" vertical="center"/>
    </xf>
    <xf numFmtId="165" fontId="33" fillId="9" borderId="2" xfId="10" applyFont="1" applyFill="1">
      <alignment horizontal="center" vertical="center"/>
    </xf>
    <xf numFmtId="0" fontId="33" fillId="0" borderId="0" xfId="0" applyFont="1" applyAlignment="1">
      <alignment horizontal="center"/>
    </xf>
    <xf numFmtId="0" fontId="33" fillId="0" borderId="0" xfId="0" applyFont="1"/>
    <xf numFmtId="0" fontId="7" fillId="0" borderId="0" xfId="8">
      <alignment horizontal="right" indent="1"/>
    </xf>
    <xf numFmtId="0" fontId="7" fillId="0" borderId="7" xfId="8" applyBorder="1">
      <alignment horizontal="right" indent="1"/>
    </xf>
    <xf numFmtId="168" fontId="7" fillId="0" borderId="3" xfId="9">
      <alignment horizontal="center" vertical="center"/>
    </xf>
    <xf numFmtId="166" fontId="35" fillId="6" borderId="4" xfId="0" applyNumberFormat="1" applyFont="1" applyFill="1" applyBorder="1" applyAlignment="1">
      <alignment horizontal="left" vertical="center" wrapText="1" indent="1"/>
    </xf>
    <xf numFmtId="166" fontId="35" fillId="6" borderId="1" xfId="0" applyNumberFormat="1" applyFont="1" applyFill="1" applyBorder="1" applyAlignment="1">
      <alignment horizontal="left" vertical="center" wrapText="1" indent="1"/>
    </xf>
    <xf numFmtId="166" fontId="35" fillId="6" borderId="5" xfId="0" applyNumberFormat="1" applyFont="1" applyFill="1" applyBorder="1" applyAlignment="1">
      <alignment horizontal="left" vertical="center" wrapText="1" indent="1"/>
    </xf>
    <xf numFmtId="0" fontId="35" fillId="0" borderId="0" xfId="0" applyFont="1"/>
  </cellXfs>
  <cellStyles count="54">
    <cellStyle name="20% - Ênfase1" xfId="31" builtinId="30" customBuiltin="1"/>
    <cellStyle name="20% - Ênfase2" xfId="35" builtinId="34" customBuiltin="1"/>
    <cellStyle name="20% - Ênfase3" xfId="39" builtinId="38" customBuiltin="1"/>
    <cellStyle name="20% - Ênfase4" xfId="43" builtinId="42" customBuiltin="1"/>
    <cellStyle name="20% - Ênfase5" xfId="47" builtinId="46" customBuiltin="1"/>
    <cellStyle name="20% - Ênfase6" xfId="51" builtinId="50" customBuiltin="1"/>
    <cellStyle name="40% - Ênfase1" xfId="32" builtinId="31" customBuiltin="1"/>
    <cellStyle name="40% - Ênfase2" xfId="36" builtinId="35" customBuiltin="1"/>
    <cellStyle name="40% - Ênfase3" xfId="40" builtinId="39" customBuiltin="1"/>
    <cellStyle name="40% - Ênfase4" xfId="44" builtinId="43" customBuiltin="1"/>
    <cellStyle name="40% - Ênfase5" xfId="48" builtinId="47" customBuiltin="1"/>
    <cellStyle name="40% - Ênfase6" xfId="52" builtinId="51" customBuiltin="1"/>
    <cellStyle name="60% - Ênfase1" xfId="33" builtinId="32" customBuiltin="1"/>
    <cellStyle name="60% - Ênfase2" xfId="37" builtinId="36" customBuiltin="1"/>
    <cellStyle name="60% - Ênfase3" xfId="41" builtinId="40" customBuiltin="1"/>
    <cellStyle name="60% - Ênfase4" xfId="45" builtinId="44" customBuiltin="1"/>
    <cellStyle name="60% - Ênfase5" xfId="49" builtinId="48" customBuiltin="1"/>
    <cellStyle name="60% - Ênfase6" xfId="53" builtinId="52" customBuiltin="1"/>
    <cellStyle name="Bom" xfId="18" builtinId="26" customBuiltin="1"/>
    <cellStyle name="Cálculo" xfId="23" builtinId="22" customBuiltin="1"/>
    <cellStyle name="Célula de Verificação" xfId="25" builtinId="23" customBuiltin="1"/>
    <cellStyle name="Célula Vinculada" xfId="24" builtinId="24" customBuiltin="1"/>
    <cellStyle name="Data" xfId="10" xr:uid="{229918B6-DD13-4F5A-97B9-305F7E002AA3}"/>
    <cellStyle name="Ênfase1" xfId="30" builtinId="29" customBuiltin="1"/>
    <cellStyle name="Ênfase2" xfId="34" builtinId="33" customBuiltin="1"/>
    <cellStyle name="Ênfase3" xfId="38" builtinId="37" customBuiltin="1"/>
    <cellStyle name="Ênfase4" xfId="42" builtinId="41" customBuiltin="1"/>
    <cellStyle name="Ênfase5" xfId="46" builtinId="45" customBuiltin="1"/>
    <cellStyle name="Ênfase6" xfId="50" builtinId="49" customBuiltin="1"/>
    <cellStyle name="Entrada" xfId="21" builtinId="20" customBuiltin="1"/>
    <cellStyle name="Hiperlink" xfId="1" builtinId="8" customBuiltin="1"/>
    <cellStyle name="Hiperlink Visitado" xfId="13" builtinId="9" customBuiltin="1"/>
    <cellStyle name="Início do Projeto" xfId="9" xr:uid="{8EB8A09A-C31C-40A3-B2C1-9449520178B8}"/>
    <cellStyle name="Moeda" xfId="15" builtinId="4" customBuiltin="1"/>
    <cellStyle name="Moeda [0]" xfId="16" builtinId="7" customBuiltin="1"/>
    <cellStyle name="Neutro" xfId="20" builtinId="28" customBuiltin="1"/>
    <cellStyle name="Nome" xfId="11" xr:uid="{B2D3C1EE-6B41-4801-AAFC-C2274E49E503}"/>
    <cellStyle name="Normal" xfId="0" builtinId="0" customBuiltin="1"/>
    <cellStyle name="Nota" xfId="27" builtinId="10" customBuiltin="1"/>
    <cellStyle name="Porcentagem" xfId="2" builtinId="5" customBuiltin="1"/>
    <cellStyle name="Ruim" xfId="19" builtinId="27" customBuiltin="1"/>
    <cellStyle name="Saída" xfId="22" builtinId="21" customBuiltin="1"/>
    <cellStyle name="Separador de milhares [0]" xfId="14" builtinId="6" customBuiltin="1"/>
    <cellStyle name="Tarefa" xfId="12" xr:uid="{6391D789-272B-4DD2-9BF3-2CDCF610FA41}"/>
    <cellStyle name="Texto de Aviso" xfId="26" builtinId="11" customBuiltin="1"/>
    <cellStyle name="Texto Explicativo" xfId="28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17" builtinId="19" customBuiltin="1"/>
    <cellStyle name="Total" xfId="29" builtinId="25" customBuiltin="1"/>
    <cellStyle name="Vírgula" xfId="4" builtinId="3" customBuiltin="1"/>
    <cellStyle name="zTextoOculto" xfId="3" xr:uid="{26E66EE6-E33F-4D77-BAE4-0FB4F5BBF673}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istaDeTarefasPendentes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H30"/>
  <sheetViews>
    <sheetView showGridLines="0" tabSelected="1" showRuler="0" topLeftCell="E1" zoomScale="55" zoomScaleNormal="55" zoomScalePageLayoutView="70" workbookViewId="0">
      <pane ySplit="6" topLeftCell="A27" activePane="bottomLeft" state="frozen"/>
      <selection pane="bottomLeft" activeCell="B4" sqref="B4:DH29"/>
    </sheetView>
  </sheetViews>
  <sheetFormatPr defaultRowHeight="30" customHeight="1" x14ac:dyDescent="0.3"/>
  <cols>
    <col min="1" max="1" width="2.6640625" style="12" customWidth="1"/>
    <col min="2" max="2" width="78.77734375" customWidth="1"/>
    <col min="3" max="3" width="30.6640625" customWidth="1"/>
    <col min="4" max="4" width="18.77734375" customWidth="1"/>
    <col min="5" max="5" width="15.109375" style="5" customWidth="1"/>
    <col min="6" max="6" width="16.21875" customWidth="1"/>
    <col min="7" max="7" width="2.6640625" customWidth="1"/>
    <col min="8" max="8" width="6.109375" hidden="1" customWidth="1"/>
    <col min="9" max="12" width="2.5546875" customWidth="1"/>
    <col min="13" max="13" width="5.5546875" customWidth="1"/>
    <col min="14" max="14" width="0.6640625" customWidth="1"/>
    <col min="15" max="15" width="2.5546875" hidden="1" customWidth="1"/>
    <col min="16" max="21" width="2.5546875" customWidth="1"/>
    <col min="22" max="22" width="4.77734375" customWidth="1"/>
    <col min="23" max="28" width="2.5546875" customWidth="1"/>
    <col min="29" max="29" width="6.21875" customWidth="1"/>
    <col min="30" max="34" width="2.5546875" customWidth="1"/>
    <col min="35" max="35" width="5.5546875" customWidth="1"/>
    <col min="36" max="36" width="3.33203125" customWidth="1"/>
    <col min="37" max="42" width="2.5546875" customWidth="1"/>
    <col min="43" max="43" width="4.5546875" customWidth="1"/>
    <col min="44" max="56" width="2.5546875" customWidth="1"/>
    <col min="57" max="57" width="5" customWidth="1"/>
    <col min="58" max="63" width="2.5546875" customWidth="1"/>
    <col min="64" max="64" width="4" customWidth="1"/>
    <col min="65" max="68" width="2.5546875" customWidth="1"/>
    <col min="69" max="69" width="3.88671875" customWidth="1"/>
    <col min="70" max="70" width="3.77734375" customWidth="1"/>
    <col min="71" max="111" width="2.5546875" customWidth="1"/>
    <col min="112" max="112" width="4.33203125" customWidth="1"/>
  </cols>
  <sheetData>
    <row r="1" spans="1:112" ht="30" customHeight="1" x14ac:dyDescent="0.55000000000000004">
      <c r="A1" s="13" t="s">
        <v>0</v>
      </c>
      <c r="B1" s="15" t="s">
        <v>15</v>
      </c>
      <c r="C1" s="1"/>
      <c r="D1" s="2"/>
      <c r="E1" s="4"/>
      <c r="F1" s="11"/>
      <c r="H1" s="2"/>
      <c r="I1" s="19"/>
    </row>
    <row r="2" spans="1:112" ht="30" customHeight="1" x14ac:dyDescent="0.35">
      <c r="A2" s="12" t="s">
        <v>1</v>
      </c>
      <c r="B2" s="16" t="s">
        <v>16</v>
      </c>
      <c r="I2" s="20"/>
    </row>
    <row r="3" spans="1:112" ht="30" customHeight="1" x14ac:dyDescent="0.3">
      <c r="A3" s="12" t="s">
        <v>2</v>
      </c>
      <c r="B3" s="17" t="s">
        <v>37</v>
      </c>
      <c r="C3" s="64" t="s">
        <v>8</v>
      </c>
      <c r="D3" s="65"/>
      <c r="E3" s="66">
        <v>46237</v>
      </c>
      <c r="F3" s="66"/>
    </row>
    <row r="4" spans="1:112" ht="30" customHeight="1" x14ac:dyDescent="0.4">
      <c r="A4" s="13" t="s">
        <v>3</v>
      </c>
      <c r="C4" s="64" t="s">
        <v>9</v>
      </c>
      <c r="D4" s="65"/>
      <c r="E4" s="6">
        <v>1</v>
      </c>
      <c r="I4" s="67">
        <f>I5</f>
        <v>46237</v>
      </c>
      <c r="J4" s="68"/>
      <c r="K4" s="68"/>
      <c r="L4" s="68"/>
      <c r="M4" s="68"/>
      <c r="N4" s="68"/>
      <c r="O4" s="69"/>
      <c r="P4" s="67">
        <f>P5</f>
        <v>46244</v>
      </c>
      <c r="Q4" s="68"/>
      <c r="R4" s="68"/>
      <c r="S4" s="68"/>
      <c r="T4" s="68"/>
      <c r="U4" s="68"/>
      <c r="V4" s="69"/>
      <c r="W4" s="67">
        <f>W5</f>
        <v>46251</v>
      </c>
      <c r="X4" s="68"/>
      <c r="Y4" s="68"/>
      <c r="Z4" s="68"/>
      <c r="AA4" s="68"/>
      <c r="AB4" s="68"/>
      <c r="AC4" s="69"/>
      <c r="AD4" s="67">
        <f>AD5</f>
        <v>46258</v>
      </c>
      <c r="AE4" s="68"/>
      <c r="AF4" s="68"/>
      <c r="AG4" s="68"/>
      <c r="AH4" s="68"/>
      <c r="AI4" s="68"/>
      <c r="AJ4" s="69"/>
      <c r="AK4" s="67">
        <f>AK5</f>
        <v>46265</v>
      </c>
      <c r="AL4" s="68"/>
      <c r="AM4" s="68"/>
      <c r="AN4" s="68"/>
      <c r="AO4" s="68"/>
      <c r="AP4" s="68"/>
      <c r="AQ4" s="69"/>
      <c r="AR4" s="67">
        <f>AR5</f>
        <v>46272</v>
      </c>
      <c r="AS4" s="68"/>
      <c r="AT4" s="68"/>
      <c r="AU4" s="68"/>
      <c r="AV4" s="68"/>
      <c r="AW4" s="68"/>
      <c r="AX4" s="69"/>
      <c r="AY4" s="67">
        <f>AY5</f>
        <v>46279</v>
      </c>
      <c r="AZ4" s="68"/>
      <c r="BA4" s="68"/>
      <c r="BB4" s="68"/>
      <c r="BC4" s="68"/>
      <c r="BD4" s="68"/>
      <c r="BE4" s="69"/>
      <c r="BF4" s="67">
        <f>BF5</f>
        <v>46286</v>
      </c>
      <c r="BG4" s="68"/>
      <c r="BH4" s="68"/>
      <c r="BI4" s="68"/>
      <c r="BJ4" s="68"/>
      <c r="BK4" s="68"/>
      <c r="BL4" s="69"/>
      <c r="BM4" s="67">
        <f>BM5</f>
        <v>46293</v>
      </c>
      <c r="BN4" s="70"/>
      <c r="BO4" s="70"/>
      <c r="BP4" s="70"/>
      <c r="BQ4" s="70"/>
      <c r="BR4" s="70"/>
      <c r="BS4" s="70"/>
      <c r="BT4" s="67">
        <f>BT5</f>
        <v>46300</v>
      </c>
      <c r="BU4" s="70"/>
      <c r="BV4" s="70"/>
      <c r="BW4" s="70"/>
      <c r="BX4" s="70"/>
      <c r="BY4" s="70"/>
      <c r="BZ4" s="70"/>
      <c r="CA4" s="67">
        <f>CA5</f>
        <v>46307</v>
      </c>
      <c r="CB4" s="70"/>
      <c r="CC4" s="70"/>
      <c r="CD4" s="70"/>
      <c r="CE4" s="70"/>
      <c r="CF4" s="70"/>
      <c r="CG4" s="70"/>
      <c r="CH4" s="67">
        <f>CH5</f>
        <v>46314</v>
      </c>
      <c r="CI4" s="70"/>
      <c r="CJ4" s="70"/>
      <c r="CK4" s="70"/>
      <c r="CL4" s="70"/>
      <c r="CM4" s="70"/>
      <c r="CN4" s="70"/>
      <c r="CO4" s="67">
        <f>CO5</f>
        <v>46321</v>
      </c>
      <c r="CP4" s="70"/>
      <c r="CQ4" s="70"/>
      <c r="CR4" s="70"/>
      <c r="CS4" s="70"/>
      <c r="CT4" s="70"/>
      <c r="CU4" s="70"/>
      <c r="CV4" s="67">
        <f>CV5</f>
        <v>46328</v>
      </c>
      <c r="CW4" s="70"/>
      <c r="CX4" s="70"/>
      <c r="CY4" s="70"/>
      <c r="CZ4" s="70"/>
      <c r="DA4" s="70"/>
      <c r="DB4" s="70"/>
      <c r="DC4" s="67">
        <f>DC5</f>
        <v>46335</v>
      </c>
      <c r="DD4" s="70"/>
      <c r="DE4" s="70"/>
      <c r="DF4" s="70"/>
      <c r="DG4" s="70"/>
      <c r="DH4" s="70"/>
    </row>
    <row r="5" spans="1:112" ht="15" customHeight="1" x14ac:dyDescent="0.3">
      <c r="A5" s="13" t="s">
        <v>4</v>
      </c>
      <c r="B5" s="18"/>
      <c r="C5" s="18"/>
      <c r="D5" s="18"/>
      <c r="E5" s="18"/>
      <c r="F5" s="18"/>
      <c r="G5" s="18"/>
      <c r="I5" s="21">
        <f>Início_do_projeto-WEEKDAY(Início_do_projeto,1)+2+7*(Semana_de_exibição-1)</f>
        <v>46237</v>
      </c>
      <c r="J5" s="22">
        <f>I5+1</f>
        <v>46238</v>
      </c>
      <c r="K5" s="22">
        <f t="shared" ref="K5:AX5" si="0">J5+1</f>
        <v>46239</v>
      </c>
      <c r="L5" s="22">
        <f t="shared" si="0"/>
        <v>46240</v>
      </c>
      <c r="M5" s="22">
        <f t="shared" si="0"/>
        <v>46241</v>
      </c>
      <c r="N5" s="22">
        <f t="shared" si="0"/>
        <v>46242</v>
      </c>
      <c r="O5" s="23">
        <f t="shared" si="0"/>
        <v>46243</v>
      </c>
      <c r="P5" s="21">
        <f>O5+1</f>
        <v>46244</v>
      </c>
      <c r="Q5" s="22">
        <f>P5+1</f>
        <v>46245</v>
      </c>
      <c r="R5" s="22">
        <f t="shared" si="0"/>
        <v>46246</v>
      </c>
      <c r="S5" s="22">
        <f t="shared" si="0"/>
        <v>46247</v>
      </c>
      <c r="T5" s="22">
        <f t="shared" si="0"/>
        <v>46248</v>
      </c>
      <c r="U5" s="22">
        <f t="shared" si="0"/>
        <v>46249</v>
      </c>
      <c r="V5" s="23">
        <f t="shared" si="0"/>
        <v>46250</v>
      </c>
      <c r="W5" s="21">
        <f>V5+1</f>
        <v>46251</v>
      </c>
      <c r="X5" s="22">
        <f>W5+1</f>
        <v>46252</v>
      </c>
      <c r="Y5" s="22">
        <f t="shared" si="0"/>
        <v>46253</v>
      </c>
      <c r="Z5" s="22">
        <f t="shared" si="0"/>
        <v>46254</v>
      </c>
      <c r="AA5" s="22">
        <f t="shared" si="0"/>
        <v>46255</v>
      </c>
      <c r="AB5" s="22">
        <f t="shared" si="0"/>
        <v>46256</v>
      </c>
      <c r="AC5" s="23">
        <f t="shared" si="0"/>
        <v>46257</v>
      </c>
      <c r="AD5" s="21">
        <f>AC5+1</f>
        <v>46258</v>
      </c>
      <c r="AE5" s="22">
        <f>AD5+1</f>
        <v>46259</v>
      </c>
      <c r="AF5" s="22">
        <f t="shared" si="0"/>
        <v>46260</v>
      </c>
      <c r="AG5" s="22">
        <f t="shared" si="0"/>
        <v>46261</v>
      </c>
      <c r="AH5" s="22">
        <f t="shared" si="0"/>
        <v>46262</v>
      </c>
      <c r="AI5" s="22">
        <f t="shared" si="0"/>
        <v>46263</v>
      </c>
      <c r="AJ5" s="23">
        <f t="shared" si="0"/>
        <v>46264</v>
      </c>
      <c r="AK5" s="21">
        <f>AJ5+1</f>
        <v>46265</v>
      </c>
      <c r="AL5" s="22">
        <f>AK5+1</f>
        <v>46266</v>
      </c>
      <c r="AM5" s="22">
        <f t="shared" si="0"/>
        <v>46267</v>
      </c>
      <c r="AN5" s="22">
        <f t="shared" si="0"/>
        <v>46268</v>
      </c>
      <c r="AO5" s="22">
        <f t="shared" si="0"/>
        <v>46269</v>
      </c>
      <c r="AP5" s="22">
        <f t="shared" si="0"/>
        <v>46270</v>
      </c>
      <c r="AQ5" s="23">
        <f t="shared" si="0"/>
        <v>46271</v>
      </c>
      <c r="AR5" s="21">
        <f>AQ5+1</f>
        <v>46272</v>
      </c>
      <c r="AS5" s="22">
        <f>AR5+1</f>
        <v>46273</v>
      </c>
      <c r="AT5" s="22">
        <f t="shared" si="0"/>
        <v>46274</v>
      </c>
      <c r="AU5" s="22">
        <f t="shared" si="0"/>
        <v>46275</v>
      </c>
      <c r="AV5" s="22">
        <f t="shared" si="0"/>
        <v>46276</v>
      </c>
      <c r="AW5" s="22">
        <f t="shared" si="0"/>
        <v>46277</v>
      </c>
      <c r="AX5" s="23">
        <f t="shared" si="0"/>
        <v>46278</v>
      </c>
      <c r="AY5" s="21">
        <f>AX5+1</f>
        <v>46279</v>
      </c>
      <c r="AZ5" s="22">
        <f>AY5+1</f>
        <v>46280</v>
      </c>
      <c r="BA5" s="22">
        <f t="shared" ref="BA5:BE5" si="1">AZ5+1</f>
        <v>46281</v>
      </c>
      <c r="BB5" s="22">
        <f t="shared" si="1"/>
        <v>46282</v>
      </c>
      <c r="BC5" s="22">
        <f t="shared" si="1"/>
        <v>46283</v>
      </c>
      <c r="BD5" s="22">
        <f t="shared" si="1"/>
        <v>46284</v>
      </c>
      <c r="BE5" s="23">
        <f t="shared" si="1"/>
        <v>46285</v>
      </c>
      <c r="BF5" s="21">
        <f>BE5+1</f>
        <v>46286</v>
      </c>
      <c r="BG5" s="22">
        <f>BF5+1</f>
        <v>46287</v>
      </c>
      <c r="BH5" s="22">
        <f t="shared" ref="BH5:DH5" si="2">BG5+1</f>
        <v>46288</v>
      </c>
      <c r="BI5" s="22">
        <f t="shared" si="2"/>
        <v>46289</v>
      </c>
      <c r="BJ5" s="22">
        <f t="shared" si="2"/>
        <v>46290</v>
      </c>
      <c r="BK5" s="22">
        <f t="shared" si="2"/>
        <v>46291</v>
      </c>
      <c r="BL5" s="23">
        <f t="shared" si="2"/>
        <v>46292</v>
      </c>
      <c r="BM5" s="22">
        <f t="shared" si="2"/>
        <v>46293</v>
      </c>
      <c r="BN5" s="22">
        <f t="shared" si="2"/>
        <v>46294</v>
      </c>
      <c r="BO5" s="22">
        <f t="shared" si="2"/>
        <v>46295</v>
      </c>
      <c r="BP5" s="22">
        <f t="shared" si="2"/>
        <v>46296</v>
      </c>
      <c r="BQ5" s="22">
        <f t="shared" si="2"/>
        <v>46297</v>
      </c>
      <c r="BR5" s="22">
        <f t="shared" si="2"/>
        <v>46298</v>
      </c>
      <c r="BS5" s="22">
        <f t="shared" si="2"/>
        <v>46299</v>
      </c>
      <c r="BT5" s="22">
        <f t="shared" si="2"/>
        <v>46300</v>
      </c>
      <c r="BU5" s="22">
        <f t="shared" si="2"/>
        <v>46301</v>
      </c>
      <c r="BV5" s="22">
        <f t="shared" si="2"/>
        <v>46302</v>
      </c>
      <c r="BW5" s="22">
        <f t="shared" si="2"/>
        <v>46303</v>
      </c>
      <c r="BX5" s="22">
        <f t="shared" si="2"/>
        <v>46304</v>
      </c>
      <c r="BY5" s="22">
        <f t="shared" si="2"/>
        <v>46305</v>
      </c>
      <c r="BZ5" s="22">
        <f t="shared" si="2"/>
        <v>46306</v>
      </c>
      <c r="CA5" s="22">
        <f t="shared" si="2"/>
        <v>46307</v>
      </c>
      <c r="CB5" s="22">
        <f t="shared" si="2"/>
        <v>46308</v>
      </c>
      <c r="CC5" s="22">
        <f t="shared" si="2"/>
        <v>46309</v>
      </c>
      <c r="CD5" s="22">
        <f t="shared" si="2"/>
        <v>46310</v>
      </c>
      <c r="CE5" s="22">
        <f t="shared" si="2"/>
        <v>46311</v>
      </c>
      <c r="CF5" s="22">
        <f t="shared" si="2"/>
        <v>46312</v>
      </c>
      <c r="CG5" s="22">
        <f t="shared" si="2"/>
        <v>46313</v>
      </c>
      <c r="CH5" s="22">
        <f t="shared" si="2"/>
        <v>46314</v>
      </c>
      <c r="CI5" s="22">
        <f t="shared" si="2"/>
        <v>46315</v>
      </c>
      <c r="CJ5" s="22">
        <f t="shared" si="2"/>
        <v>46316</v>
      </c>
      <c r="CK5" s="22">
        <f t="shared" si="2"/>
        <v>46317</v>
      </c>
      <c r="CL5" s="22">
        <f t="shared" si="2"/>
        <v>46318</v>
      </c>
      <c r="CM5" s="22">
        <f t="shared" si="2"/>
        <v>46319</v>
      </c>
      <c r="CN5" s="22">
        <f t="shared" si="2"/>
        <v>46320</v>
      </c>
      <c r="CO5" s="22">
        <f t="shared" si="2"/>
        <v>46321</v>
      </c>
      <c r="CP5" s="22">
        <f t="shared" si="2"/>
        <v>46322</v>
      </c>
      <c r="CQ5" s="22">
        <f t="shared" si="2"/>
        <v>46323</v>
      </c>
      <c r="CR5" s="22">
        <f t="shared" si="2"/>
        <v>46324</v>
      </c>
      <c r="CS5" s="22">
        <f t="shared" si="2"/>
        <v>46325</v>
      </c>
      <c r="CT5" s="22">
        <f t="shared" si="2"/>
        <v>46326</v>
      </c>
      <c r="CU5" s="22">
        <f t="shared" si="2"/>
        <v>46327</v>
      </c>
      <c r="CV5" s="22">
        <f t="shared" si="2"/>
        <v>46328</v>
      </c>
      <c r="CW5" s="22">
        <f t="shared" si="2"/>
        <v>46329</v>
      </c>
      <c r="CX5" s="22">
        <f t="shared" si="2"/>
        <v>46330</v>
      </c>
      <c r="CY5" s="22">
        <f t="shared" si="2"/>
        <v>46331</v>
      </c>
      <c r="CZ5" s="22">
        <f t="shared" si="2"/>
        <v>46332</v>
      </c>
      <c r="DA5" s="22">
        <f t="shared" si="2"/>
        <v>46333</v>
      </c>
      <c r="DB5" s="22">
        <f t="shared" si="2"/>
        <v>46334</v>
      </c>
      <c r="DC5" s="22">
        <f t="shared" si="2"/>
        <v>46335</v>
      </c>
      <c r="DD5" s="22">
        <f t="shared" si="2"/>
        <v>46336</v>
      </c>
      <c r="DE5" s="22">
        <f t="shared" si="2"/>
        <v>46337</v>
      </c>
      <c r="DF5" s="22">
        <f t="shared" si="2"/>
        <v>46338</v>
      </c>
      <c r="DG5" s="22">
        <f t="shared" si="2"/>
        <v>46339</v>
      </c>
      <c r="DH5" s="22">
        <f t="shared" si="2"/>
        <v>46340</v>
      </c>
    </row>
    <row r="6" spans="1:112" ht="39.6" customHeight="1" thickBot="1" x14ac:dyDescent="0.35">
      <c r="A6" s="13" t="s">
        <v>5</v>
      </c>
      <c r="B6" s="33" t="s">
        <v>7</v>
      </c>
      <c r="C6" s="34" t="s">
        <v>10</v>
      </c>
      <c r="D6" s="34" t="s">
        <v>11</v>
      </c>
      <c r="E6" s="34" t="s">
        <v>12</v>
      </c>
      <c r="F6" s="34" t="s">
        <v>13</v>
      </c>
      <c r="G6" s="7"/>
      <c r="H6" s="7" t="s">
        <v>14</v>
      </c>
      <c r="I6" s="8" t="str">
        <f t="shared" ref="I6" si="3">LEFT(TEXT(I5,"ddd"),1)</f>
        <v>s</v>
      </c>
      <c r="J6" s="8" t="str">
        <f t="shared" ref="J6:AR6" si="4">LEFT(TEXT(J5,"ddd"),1)</f>
        <v>t</v>
      </c>
      <c r="K6" s="8" t="str">
        <f t="shared" si="4"/>
        <v>q</v>
      </c>
      <c r="L6" s="8" t="str">
        <f t="shared" si="4"/>
        <v>q</v>
      </c>
      <c r="M6" s="8" t="str">
        <f t="shared" si="4"/>
        <v>s</v>
      </c>
      <c r="N6" s="8" t="str">
        <f t="shared" si="4"/>
        <v>s</v>
      </c>
      <c r="O6" s="8" t="str">
        <f t="shared" si="4"/>
        <v>d</v>
      </c>
      <c r="P6" s="8" t="str">
        <f t="shared" si="4"/>
        <v>s</v>
      </c>
      <c r="Q6" s="8" t="str">
        <f t="shared" si="4"/>
        <v>t</v>
      </c>
      <c r="R6" s="8" t="str">
        <f t="shared" si="4"/>
        <v>q</v>
      </c>
      <c r="S6" s="8" t="str">
        <f t="shared" si="4"/>
        <v>q</v>
      </c>
      <c r="T6" s="8" t="str">
        <f t="shared" si="4"/>
        <v>s</v>
      </c>
      <c r="U6" s="8" t="str">
        <f t="shared" si="4"/>
        <v>s</v>
      </c>
      <c r="V6" s="8" t="str">
        <f t="shared" si="4"/>
        <v>d</v>
      </c>
      <c r="W6" s="8" t="str">
        <f t="shared" si="4"/>
        <v>s</v>
      </c>
      <c r="X6" s="8" t="str">
        <f t="shared" si="4"/>
        <v>t</v>
      </c>
      <c r="Y6" s="8" t="str">
        <f t="shared" si="4"/>
        <v>q</v>
      </c>
      <c r="Z6" s="8" t="str">
        <f t="shared" si="4"/>
        <v>q</v>
      </c>
      <c r="AA6" s="8" t="str">
        <f t="shared" si="4"/>
        <v>s</v>
      </c>
      <c r="AB6" s="8" t="str">
        <f t="shared" si="4"/>
        <v>s</v>
      </c>
      <c r="AC6" s="8" t="str">
        <f t="shared" si="4"/>
        <v>d</v>
      </c>
      <c r="AD6" s="8" t="str">
        <f t="shared" si="4"/>
        <v>s</v>
      </c>
      <c r="AE6" s="8" t="str">
        <f t="shared" si="4"/>
        <v>t</v>
      </c>
      <c r="AF6" s="8" t="str">
        <f t="shared" si="4"/>
        <v>q</v>
      </c>
      <c r="AG6" s="8" t="str">
        <f t="shared" si="4"/>
        <v>q</v>
      </c>
      <c r="AH6" s="8" t="str">
        <f t="shared" si="4"/>
        <v>s</v>
      </c>
      <c r="AI6" s="8" t="str">
        <f t="shared" si="4"/>
        <v>s</v>
      </c>
      <c r="AJ6" s="8" t="str">
        <f t="shared" si="4"/>
        <v>d</v>
      </c>
      <c r="AK6" s="8" t="str">
        <f t="shared" si="4"/>
        <v>s</v>
      </c>
      <c r="AL6" s="8" t="str">
        <f t="shared" si="4"/>
        <v>t</v>
      </c>
      <c r="AM6" s="8" t="str">
        <f t="shared" si="4"/>
        <v>q</v>
      </c>
      <c r="AN6" s="8" t="str">
        <f t="shared" si="4"/>
        <v>q</v>
      </c>
      <c r="AO6" s="8" t="str">
        <f t="shared" si="4"/>
        <v>s</v>
      </c>
      <c r="AP6" s="8" t="str">
        <f t="shared" si="4"/>
        <v>s</v>
      </c>
      <c r="AQ6" s="8" t="str">
        <f t="shared" si="4"/>
        <v>d</v>
      </c>
      <c r="AR6" s="8" t="str">
        <f t="shared" si="4"/>
        <v>s</v>
      </c>
      <c r="AS6" s="8" t="str">
        <f t="shared" ref="AS6:DH6" si="5">LEFT(TEXT(AS5,"ddd"),1)</f>
        <v>t</v>
      </c>
      <c r="AT6" s="8" t="str">
        <f t="shared" si="5"/>
        <v>q</v>
      </c>
      <c r="AU6" s="8" t="str">
        <f t="shared" si="5"/>
        <v>q</v>
      </c>
      <c r="AV6" s="8" t="str">
        <f t="shared" si="5"/>
        <v>s</v>
      </c>
      <c r="AW6" s="8" t="str">
        <f t="shared" si="5"/>
        <v>s</v>
      </c>
      <c r="AX6" s="8" t="str">
        <f t="shared" si="5"/>
        <v>d</v>
      </c>
      <c r="AY6" s="8" t="str">
        <f t="shared" si="5"/>
        <v>s</v>
      </c>
      <c r="AZ6" s="8" t="str">
        <f t="shared" si="5"/>
        <v>t</v>
      </c>
      <c r="BA6" s="8" t="str">
        <f t="shared" si="5"/>
        <v>q</v>
      </c>
      <c r="BB6" s="8" t="str">
        <f t="shared" si="5"/>
        <v>q</v>
      </c>
      <c r="BC6" s="8" t="str">
        <f t="shared" si="5"/>
        <v>s</v>
      </c>
      <c r="BD6" s="8" t="str">
        <f t="shared" si="5"/>
        <v>s</v>
      </c>
      <c r="BE6" s="8" t="str">
        <f t="shared" si="5"/>
        <v>d</v>
      </c>
      <c r="BF6" s="8" t="str">
        <f t="shared" si="5"/>
        <v>s</v>
      </c>
      <c r="BG6" s="8" t="str">
        <f t="shared" si="5"/>
        <v>t</v>
      </c>
      <c r="BH6" s="8" t="str">
        <f t="shared" si="5"/>
        <v>q</v>
      </c>
      <c r="BI6" s="8" t="str">
        <f t="shared" si="5"/>
        <v>q</v>
      </c>
      <c r="BJ6" s="8" t="str">
        <f t="shared" si="5"/>
        <v>s</v>
      </c>
      <c r="BK6" s="8" t="str">
        <f t="shared" si="5"/>
        <v>s</v>
      </c>
      <c r="BL6" s="8" t="str">
        <f t="shared" si="5"/>
        <v>d</v>
      </c>
      <c r="BM6" s="8" t="str">
        <f t="shared" si="5"/>
        <v>s</v>
      </c>
      <c r="BN6" s="8" t="str">
        <f t="shared" si="5"/>
        <v>t</v>
      </c>
      <c r="BO6" s="8" t="str">
        <f t="shared" si="5"/>
        <v>q</v>
      </c>
      <c r="BP6" s="8" t="str">
        <f t="shared" si="5"/>
        <v>q</v>
      </c>
      <c r="BQ6" s="8" t="str">
        <f t="shared" si="5"/>
        <v>s</v>
      </c>
      <c r="BR6" s="8" t="str">
        <f t="shared" si="5"/>
        <v>s</v>
      </c>
      <c r="BS6" s="8" t="str">
        <f t="shared" si="5"/>
        <v>d</v>
      </c>
      <c r="BT6" s="8" t="str">
        <f t="shared" si="5"/>
        <v>s</v>
      </c>
      <c r="BU6" s="8" t="str">
        <f t="shared" si="5"/>
        <v>t</v>
      </c>
      <c r="BV6" s="8" t="str">
        <f t="shared" si="5"/>
        <v>q</v>
      </c>
      <c r="BW6" s="8" t="str">
        <f t="shared" si="5"/>
        <v>q</v>
      </c>
      <c r="BX6" s="8" t="str">
        <f t="shared" si="5"/>
        <v>s</v>
      </c>
      <c r="BY6" s="8" t="str">
        <f t="shared" si="5"/>
        <v>s</v>
      </c>
      <c r="BZ6" s="8" t="str">
        <f t="shared" si="5"/>
        <v>d</v>
      </c>
      <c r="CA6" s="8" t="str">
        <f t="shared" si="5"/>
        <v>s</v>
      </c>
      <c r="CB6" s="8" t="str">
        <f t="shared" si="5"/>
        <v>t</v>
      </c>
      <c r="CC6" s="8" t="str">
        <f t="shared" si="5"/>
        <v>q</v>
      </c>
      <c r="CD6" s="8" t="str">
        <f t="shared" si="5"/>
        <v>q</v>
      </c>
      <c r="CE6" s="8" t="str">
        <f t="shared" si="5"/>
        <v>s</v>
      </c>
      <c r="CF6" s="8" t="str">
        <f t="shared" si="5"/>
        <v>s</v>
      </c>
      <c r="CG6" s="8" t="str">
        <f t="shared" si="5"/>
        <v>d</v>
      </c>
      <c r="CH6" s="8" t="str">
        <f t="shared" si="5"/>
        <v>s</v>
      </c>
      <c r="CI6" s="8" t="str">
        <f t="shared" si="5"/>
        <v>t</v>
      </c>
      <c r="CJ6" s="8" t="str">
        <f t="shared" si="5"/>
        <v>q</v>
      </c>
      <c r="CK6" s="8" t="str">
        <f t="shared" si="5"/>
        <v>q</v>
      </c>
      <c r="CL6" s="8" t="str">
        <f t="shared" si="5"/>
        <v>s</v>
      </c>
      <c r="CM6" s="8" t="str">
        <f t="shared" si="5"/>
        <v>s</v>
      </c>
      <c r="CN6" s="8" t="str">
        <f t="shared" si="5"/>
        <v>d</v>
      </c>
      <c r="CO6" s="8" t="str">
        <f t="shared" si="5"/>
        <v>s</v>
      </c>
      <c r="CP6" s="8" t="str">
        <f t="shared" si="5"/>
        <v>t</v>
      </c>
      <c r="CQ6" s="8" t="str">
        <f t="shared" si="5"/>
        <v>q</v>
      </c>
      <c r="CR6" s="8" t="str">
        <f t="shared" si="5"/>
        <v>q</v>
      </c>
      <c r="CS6" s="8" t="str">
        <f t="shared" si="5"/>
        <v>s</v>
      </c>
      <c r="CT6" s="8" t="str">
        <f t="shared" si="5"/>
        <v>s</v>
      </c>
      <c r="CU6" s="8" t="str">
        <f t="shared" si="5"/>
        <v>d</v>
      </c>
      <c r="CV6" s="8" t="str">
        <f t="shared" si="5"/>
        <v>s</v>
      </c>
      <c r="CW6" s="8" t="str">
        <f t="shared" si="5"/>
        <v>t</v>
      </c>
      <c r="CX6" s="8" t="str">
        <f t="shared" si="5"/>
        <v>q</v>
      </c>
      <c r="CY6" s="8" t="str">
        <f t="shared" si="5"/>
        <v>q</v>
      </c>
      <c r="CZ6" s="8" t="str">
        <f t="shared" si="5"/>
        <v>s</v>
      </c>
      <c r="DA6" s="8" t="str">
        <f t="shared" si="5"/>
        <v>s</v>
      </c>
      <c r="DB6" s="8" t="str">
        <f t="shared" si="5"/>
        <v>d</v>
      </c>
      <c r="DC6" s="8" t="str">
        <f t="shared" si="5"/>
        <v>s</v>
      </c>
      <c r="DD6" s="8" t="str">
        <f t="shared" si="5"/>
        <v>t</v>
      </c>
      <c r="DE6" s="8" t="str">
        <f t="shared" si="5"/>
        <v>q</v>
      </c>
      <c r="DF6" s="8" t="str">
        <f t="shared" si="5"/>
        <v>q</v>
      </c>
      <c r="DG6" s="8" t="str">
        <f t="shared" si="5"/>
        <v>s</v>
      </c>
      <c r="DH6" s="8" t="str">
        <f t="shared" si="5"/>
        <v>s</v>
      </c>
    </row>
    <row r="7" spans="1:112" ht="30" hidden="1" customHeight="1" thickBot="1" x14ac:dyDescent="0.35">
      <c r="A7" s="12" t="s">
        <v>6</v>
      </c>
      <c r="C7" s="14"/>
      <c r="E7"/>
      <c r="H7" t="str">
        <f>IF(OR(ISBLANK(Início_da_tarefa),ISBLANK(Término_da_tarefa)),"",Término_da_tarefa-Início_da_tarefa+1)</f>
        <v/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spans="1:112" s="3" customFormat="1" ht="30" customHeight="1" thickBot="1" x14ac:dyDescent="0.35">
      <c r="A8" s="13"/>
      <c r="B8" s="24" t="s">
        <v>17</v>
      </c>
      <c r="C8" s="35"/>
      <c r="D8" s="36">
        <v>0</v>
      </c>
      <c r="E8" s="50">
        <v>46237</v>
      </c>
      <c r="F8" s="51">
        <v>46255</v>
      </c>
      <c r="G8" s="9"/>
      <c r="H8" s="9" t="str">
        <f t="shared" ref="H8:H29" si="6">IF(OR(ISBLANK(Início_da_tarefa),ISBLANK(Término_da_tarefa)),"",Término_da_tarefa-Início_da_tarefa+1)</f>
        <v/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</row>
    <row r="9" spans="1:112" s="3" customFormat="1" ht="30" customHeight="1" thickBot="1" x14ac:dyDescent="0.35">
      <c r="A9" s="13"/>
      <c r="B9" s="26" t="s">
        <v>18</v>
      </c>
      <c r="C9" s="43" t="s">
        <v>19</v>
      </c>
      <c r="D9" s="37">
        <v>0</v>
      </c>
      <c r="E9" s="52">
        <v>46237</v>
      </c>
      <c r="F9" s="52">
        <v>46244</v>
      </c>
      <c r="G9" s="9"/>
      <c r="H9" s="9" t="str">
        <f t="shared" si="6"/>
        <v/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</row>
    <row r="10" spans="1:112" s="3" customFormat="1" ht="30" customHeight="1" thickBot="1" x14ac:dyDescent="0.35">
      <c r="A10" s="13"/>
      <c r="B10" s="26" t="s">
        <v>20</v>
      </c>
      <c r="C10" s="43" t="s">
        <v>19</v>
      </c>
      <c r="D10" s="37">
        <v>0</v>
      </c>
      <c r="E10" s="52">
        <v>46244</v>
      </c>
      <c r="F10" s="52">
        <v>46251</v>
      </c>
      <c r="G10" s="9"/>
      <c r="H10" s="9" t="str">
        <f t="shared" si="6"/>
        <v/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</row>
    <row r="11" spans="1:112" s="3" customFormat="1" ht="30" customHeight="1" thickBot="1" x14ac:dyDescent="0.35">
      <c r="A11" s="12"/>
      <c r="B11" s="26" t="s">
        <v>21</v>
      </c>
      <c r="C11" s="43" t="s">
        <v>19</v>
      </c>
      <c r="D11" s="37">
        <v>0</v>
      </c>
      <c r="E11" s="52">
        <v>46251</v>
      </c>
      <c r="F11" s="52">
        <v>46255</v>
      </c>
      <c r="G11" s="9"/>
      <c r="H11" s="9" t="str">
        <f t="shared" si="6"/>
        <v/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</row>
    <row r="12" spans="1:112" s="3" customFormat="1" ht="30" customHeight="1" thickBot="1" x14ac:dyDescent="0.35">
      <c r="A12" s="13"/>
      <c r="B12" s="27" t="s">
        <v>22</v>
      </c>
      <c r="C12" s="44"/>
      <c r="D12" s="38">
        <v>0</v>
      </c>
      <c r="E12" s="53">
        <v>46258</v>
      </c>
      <c r="F12" s="54">
        <v>46290</v>
      </c>
      <c r="G12" s="9"/>
      <c r="H12" s="9" t="str">
        <f t="shared" si="6"/>
        <v/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</row>
    <row r="13" spans="1:112" s="3" customFormat="1" ht="30" customHeight="1" thickBot="1" x14ac:dyDescent="0.35">
      <c r="A13" s="12"/>
      <c r="B13" s="28" t="s">
        <v>23</v>
      </c>
      <c r="C13" s="45" t="s">
        <v>24</v>
      </c>
      <c r="D13" s="39">
        <v>0</v>
      </c>
      <c r="E13" s="55">
        <v>46258</v>
      </c>
      <c r="F13" s="55">
        <v>46269</v>
      </c>
      <c r="G13" s="9"/>
      <c r="H13" s="9" t="str">
        <f t="shared" si="6"/>
        <v/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</row>
    <row r="14" spans="1:112" s="3" customFormat="1" ht="30" customHeight="1" thickBot="1" x14ac:dyDescent="0.35">
      <c r="A14" s="12"/>
      <c r="B14" s="28" t="s">
        <v>25</v>
      </c>
      <c r="C14" s="45" t="s">
        <v>19</v>
      </c>
      <c r="D14" s="39">
        <v>0</v>
      </c>
      <c r="E14" s="55">
        <v>46258</v>
      </c>
      <c r="F14" s="55">
        <v>46269</v>
      </c>
      <c r="G14" s="9"/>
      <c r="H14" s="9" t="str">
        <f t="shared" si="6"/>
        <v/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</row>
    <row r="15" spans="1:112" s="3" customFormat="1" ht="30" customHeight="1" thickBot="1" x14ac:dyDescent="0.35">
      <c r="A15" s="12"/>
      <c r="B15" s="28" t="s">
        <v>39</v>
      </c>
      <c r="C15" s="45" t="s">
        <v>24</v>
      </c>
      <c r="D15" s="39">
        <v>0</v>
      </c>
      <c r="E15" s="55">
        <v>46272</v>
      </c>
      <c r="F15" s="55">
        <v>46283</v>
      </c>
      <c r="G15" s="9"/>
      <c r="H15" s="9" t="str">
        <f t="shared" si="6"/>
        <v/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</row>
    <row r="16" spans="1:112" s="3" customFormat="1" ht="30" customHeight="1" thickBot="1" x14ac:dyDescent="0.35">
      <c r="A16" s="12"/>
      <c r="B16" s="28" t="s">
        <v>40</v>
      </c>
      <c r="C16" s="45" t="s">
        <v>26</v>
      </c>
      <c r="D16" s="39">
        <v>0</v>
      </c>
      <c r="E16" s="55">
        <v>46272</v>
      </c>
      <c r="F16" s="55">
        <v>46283</v>
      </c>
      <c r="G16" s="9"/>
      <c r="H16" s="9" t="str">
        <f t="shared" si="6"/>
        <v/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</row>
    <row r="17" spans="1:112" s="3" customFormat="1" ht="30" customHeight="1" thickBot="1" x14ac:dyDescent="0.35">
      <c r="A17" s="12"/>
      <c r="B17" s="28" t="s">
        <v>27</v>
      </c>
      <c r="C17" s="45" t="s">
        <v>28</v>
      </c>
      <c r="D17" s="39">
        <v>0</v>
      </c>
      <c r="E17" s="55">
        <v>46283</v>
      </c>
      <c r="F17" s="55">
        <v>46290</v>
      </c>
      <c r="G17" s="9"/>
      <c r="H17" s="9" t="str">
        <f t="shared" si="6"/>
        <v/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</row>
    <row r="18" spans="1:112" s="3" customFormat="1" ht="30" customHeight="1" thickBot="1" x14ac:dyDescent="0.35">
      <c r="A18" s="13"/>
      <c r="B18" s="29" t="s">
        <v>29</v>
      </c>
      <c r="C18" s="46"/>
      <c r="D18" s="40">
        <v>0</v>
      </c>
      <c r="E18" s="56">
        <v>46266</v>
      </c>
      <c r="F18" s="57">
        <v>46304</v>
      </c>
      <c r="G18" s="9"/>
      <c r="H18" s="9" t="str">
        <f t="shared" si="6"/>
        <v/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</row>
    <row r="19" spans="1:112" s="3" customFormat="1" ht="30" customHeight="1" thickBot="1" x14ac:dyDescent="0.35">
      <c r="A19" s="12"/>
      <c r="B19" s="30" t="s">
        <v>30</v>
      </c>
      <c r="C19" s="47" t="s">
        <v>19</v>
      </c>
      <c r="D19" s="40">
        <v>0</v>
      </c>
      <c r="E19" s="58">
        <v>46266</v>
      </c>
      <c r="F19" s="58">
        <v>46279</v>
      </c>
      <c r="G19" s="9"/>
      <c r="H19" s="9" t="str">
        <f t="shared" si="6"/>
        <v/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</row>
    <row r="20" spans="1:112" s="3" customFormat="1" ht="30" customHeight="1" thickBot="1" x14ac:dyDescent="0.35">
      <c r="A20" s="12"/>
      <c r="B20" s="30" t="s">
        <v>41</v>
      </c>
      <c r="C20" s="47" t="s">
        <v>26</v>
      </c>
      <c r="D20" s="40">
        <v>0</v>
      </c>
      <c r="E20" s="58">
        <v>46266</v>
      </c>
      <c r="F20" s="58">
        <v>46279</v>
      </c>
      <c r="G20" s="9"/>
      <c r="H20" s="9" t="str">
        <f t="shared" si="6"/>
        <v/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</row>
    <row r="21" spans="1:112" s="3" customFormat="1" ht="30" customHeight="1" thickBot="1" x14ac:dyDescent="0.35">
      <c r="A21" s="12"/>
      <c r="B21" s="30" t="s">
        <v>42</v>
      </c>
      <c r="C21" s="47" t="s">
        <v>26</v>
      </c>
      <c r="D21" s="40">
        <v>0</v>
      </c>
      <c r="E21" s="58">
        <v>46279</v>
      </c>
      <c r="F21" s="58">
        <v>46293</v>
      </c>
      <c r="G21" s="9"/>
      <c r="H21" s="9" t="str">
        <f t="shared" si="6"/>
        <v/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</row>
    <row r="22" spans="1:112" s="3" customFormat="1" ht="30" customHeight="1" thickBot="1" x14ac:dyDescent="0.35">
      <c r="A22" s="12"/>
      <c r="B22" s="30" t="s">
        <v>31</v>
      </c>
      <c r="C22" s="47" t="s">
        <v>19</v>
      </c>
      <c r="D22" s="40">
        <v>0</v>
      </c>
      <c r="E22" s="58">
        <v>46279</v>
      </c>
      <c r="F22" s="58">
        <v>46293</v>
      </c>
      <c r="G22" s="9"/>
      <c r="H22" s="9" t="str">
        <f t="shared" si="6"/>
        <v/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</row>
    <row r="23" spans="1:112" s="3" customFormat="1" ht="30" customHeight="1" thickBot="1" x14ac:dyDescent="0.35">
      <c r="A23" s="12"/>
      <c r="B23" s="30" t="s">
        <v>32</v>
      </c>
      <c r="C23" s="47" t="s">
        <v>24</v>
      </c>
      <c r="D23" s="40">
        <v>0</v>
      </c>
      <c r="E23" s="58">
        <v>46293</v>
      </c>
      <c r="F23" s="58">
        <v>46304</v>
      </c>
      <c r="G23" s="9"/>
      <c r="H23" s="9" t="str">
        <f t="shared" si="6"/>
        <v/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</row>
    <row r="24" spans="1:112" s="3" customFormat="1" ht="30" customHeight="1" thickBot="1" x14ac:dyDescent="0.35">
      <c r="A24" s="13"/>
      <c r="B24" s="31" t="s">
        <v>33</v>
      </c>
      <c r="C24" s="48"/>
      <c r="D24" s="41">
        <v>0</v>
      </c>
      <c r="E24" s="59">
        <v>46307</v>
      </c>
      <c r="F24" s="60">
        <v>46340</v>
      </c>
      <c r="G24" s="9"/>
      <c r="H24" s="9" t="str">
        <f t="shared" si="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</row>
    <row r="25" spans="1:112" s="3" customFormat="1" ht="30" customHeight="1" thickBot="1" x14ac:dyDescent="0.35">
      <c r="A25" s="12"/>
      <c r="B25" s="32" t="s">
        <v>34</v>
      </c>
      <c r="C25" s="49" t="s">
        <v>28</v>
      </c>
      <c r="D25" s="42">
        <v>0</v>
      </c>
      <c r="E25" s="61">
        <v>46307</v>
      </c>
      <c r="F25" s="61">
        <v>46318</v>
      </c>
      <c r="G25" s="9"/>
      <c r="H25" s="9" t="str">
        <f t="shared" si="6"/>
        <v/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</row>
    <row r="26" spans="1:112" s="3" customFormat="1" ht="30" customHeight="1" thickBot="1" x14ac:dyDescent="0.35">
      <c r="A26" s="12"/>
      <c r="B26" s="32" t="s">
        <v>35</v>
      </c>
      <c r="C26" s="49" t="s">
        <v>24</v>
      </c>
      <c r="D26" s="42">
        <v>0</v>
      </c>
      <c r="E26" s="61">
        <v>46318</v>
      </c>
      <c r="F26" s="61">
        <v>46325</v>
      </c>
      <c r="G26" s="9"/>
      <c r="H26" s="9" t="str">
        <f t="shared" si="6"/>
        <v/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</row>
    <row r="27" spans="1:112" s="3" customFormat="1" ht="30" customHeight="1" thickBot="1" x14ac:dyDescent="0.35">
      <c r="A27" s="12"/>
      <c r="B27" s="32" t="s">
        <v>36</v>
      </c>
      <c r="C27" s="49" t="s">
        <v>28</v>
      </c>
      <c r="D27" s="42">
        <v>0</v>
      </c>
      <c r="E27" s="61">
        <v>46325</v>
      </c>
      <c r="F27" s="61">
        <v>46332</v>
      </c>
      <c r="G27" s="9"/>
      <c r="H27" s="9" t="str">
        <f t="shared" si="6"/>
        <v/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</row>
    <row r="28" spans="1:112" s="3" customFormat="1" ht="30" customHeight="1" thickBot="1" x14ac:dyDescent="0.35">
      <c r="A28" s="12"/>
      <c r="B28" s="32" t="s">
        <v>38</v>
      </c>
      <c r="C28" s="49" t="s">
        <v>28</v>
      </c>
      <c r="D28" s="42">
        <v>0</v>
      </c>
      <c r="E28" s="61">
        <v>46332</v>
      </c>
      <c r="F28" s="61">
        <v>46338</v>
      </c>
      <c r="G28" s="9"/>
      <c r="H28" s="9" t="str">
        <f t="shared" si="6"/>
        <v/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</row>
    <row r="29" spans="1:112" s="3" customFormat="1" ht="30" customHeight="1" thickBot="1" x14ac:dyDescent="0.35">
      <c r="A29" s="12"/>
      <c r="B29" s="32" t="s">
        <v>43</v>
      </c>
      <c r="C29" s="49" t="s">
        <v>19</v>
      </c>
      <c r="D29" s="42">
        <v>0</v>
      </c>
      <c r="E29" s="61">
        <v>46338</v>
      </c>
      <c r="F29" s="61">
        <v>46340</v>
      </c>
      <c r="G29" s="9"/>
      <c r="H29" s="9" t="str">
        <f t="shared" si="6"/>
        <v/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</row>
    <row r="30" spans="1:112" ht="30" customHeight="1" x14ac:dyDescent="0.7">
      <c r="B30" s="25"/>
      <c r="E30" s="62"/>
      <c r="F30" s="63"/>
    </row>
  </sheetData>
  <mergeCells count="18">
    <mergeCell ref="C3:D3"/>
    <mergeCell ref="C4:D4"/>
    <mergeCell ref="E3:F3"/>
    <mergeCell ref="I4:O4"/>
    <mergeCell ref="P4:V4"/>
    <mergeCell ref="W4:AC4"/>
    <mergeCell ref="AD4:AJ4"/>
    <mergeCell ref="AK4:AQ4"/>
    <mergeCell ref="AR4:AX4"/>
    <mergeCell ref="AY4:BE4"/>
    <mergeCell ref="CO4:CU4"/>
    <mergeCell ref="CV4:DB4"/>
    <mergeCell ref="DC4:DH4"/>
    <mergeCell ref="BF4:BL4"/>
    <mergeCell ref="BM4:BS4"/>
    <mergeCell ref="BT4:BZ4"/>
    <mergeCell ref="CA4:CG4"/>
    <mergeCell ref="CH4:CN4"/>
  </mergeCells>
  <conditionalFormatting sqref="D7">
    <cfRule type="dataBar" priority="2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D8">
    <cfRule type="dataBar" priority="8">
      <dataBar>
        <cfvo type="num" val="0"/>
        <cfvo type="num" val="1"/>
        <color theme="0" tint="-0.249977111117893"/>
      </dataBar>
    </cfRule>
  </conditionalFormatting>
  <conditionalFormatting sqref="D9:D11">
    <cfRule type="dataBar" priority="1">
      <dataBar>
        <cfvo type="num" val="0"/>
        <cfvo type="num" val="1"/>
        <color theme="0" tint="-0.249977111117893"/>
      </dataBar>
    </cfRule>
  </conditionalFormatting>
  <conditionalFormatting sqref="D12">
    <cfRule type="dataBar" priority="5">
      <dataBar>
        <cfvo type="num" val="0"/>
        <cfvo type="num" val="1"/>
        <color theme="0" tint="-0.249977111117893"/>
      </dataBar>
    </cfRule>
  </conditionalFormatting>
  <conditionalFormatting sqref="D13:D17">
    <cfRule type="dataBar" priority="4">
      <dataBar>
        <cfvo type="num" val="0"/>
        <cfvo type="num" val="1"/>
        <color theme="0" tint="-0.249977111117893"/>
      </dataBar>
    </cfRule>
  </conditionalFormatting>
  <conditionalFormatting sqref="D18:D23">
    <cfRule type="dataBar" priority="7">
      <dataBar>
        <cfvo type="num" val="0"/>
        <cfvo type="num" val="1"/>
        <color theme="0" tint="-0.249977111117893"/>
      </dataBar>
    </cfRule>
  </conditionalFormatting>
  <conditionalFormatting sqref="D24">
    <cfRule type="dataBar" priority="3">
      <dataBar>
        <cfvo type="num" val="0"/>
        <cfvo type="num" val="1"/>
        <color theme="0" tint="-0.249977111117893"/>
      </dataBar>
    </cfRule>
  </conditionalFormatting>
  <conditionalFormatting sqref="D25:D29">
    <cfRule type="dataBar" priority="2">
      <dataBar>
        <cfvo type="num" val="0"/>
        <cfvo type="num" val="1"/>
        <color theme="0" tint="-0.249977111117893"/>
      </dataBar>
    </cfRule>
  </conditionalFormatting>
  <conditionalFormatting sqref="I5:DH29">
    <cfRule type="expression" dxfId="2" priority="41">
      <formula>AND(TODAY()&gt;=I$5,TODAY()&lt;J$5)</formula>
    </cfRule>
  </conditionalFormatting>
  <conditionalFormatting sqref="I7:DH29">
    <cfRule type="expression" dxfId="1" priority="35">
      <formula>AND(Início_da_tarefa&lt;=I$5,ROUNDDOWN((Término_da_tarefa-Início_da_tarefa+1)*Progresso_da_tarefa,0)+Início_da_tarefa-1&gt;=I$5)</formula>
    </cfRule>
    <cfRule type="expression" dxfId="0" priority="36" stopIfTrue="1">
      <formula>AND(Término_da_tarefa&gt;=I$5,Início_da_tarefa&lt;J$5)</formula>
    </cfRule>
  </conditionalFormatting>
  <dataValidations count="1">
    <dataValidation type="whole" operator="greaterThanOrEqual" allowBlank="1" showInputMessage="1" promptTitle="Semana de exibição" prompt="Alterar esse número rola a exibição do Gráfico de Gantt." sqref="E4" xr:uid="{00000000-0002-0000-0000-000000000000}">
      <formula1>1</formula1>
    </dataValidation>
  </dataValidations>
  <printOptions horizontalCentered="1"/>
  <pageMargins left="0.35" right="0.35" top="0.35" bottom="0.5" header="0.3" footer="0.3"/>
  <pageSetup paperSize="9" scale="60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80F839-78EF-4FF4-A673-3CC84279C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CronogramaDeProjeto</vt:lpstr>
      <vt:lpstr>CronogramaDeProjeto!Início_da_tarefa</vt:lpstr>
      <vt:lpstr>Início_do_projeto</vt:lpstr>
      <vt:lpstr>CronogramaDeProjeto!Progresso_da_tarefa</vt:lpstr>
      <vt:lpstr>Semana_de_exibição</vt:lpstr>
      <vt:lpstr>CronogramaDeProjeto!Término_da_tarefa</vt:lpstr>
      <vt:lpstr>CronogramaDeProjeto!Titulos_de_impressao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2021-12-14T20:18:50Z</dcterms:created>
  <dcterms:modified xsi:type="dcterms:W3CDTF">2026-04-26T01:47:24Z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